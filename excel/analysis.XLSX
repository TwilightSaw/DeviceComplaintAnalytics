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leksii\OneDrive\Робочий стіл\excel\"/>
    </mc:Choice>
  </mc:AlternateContent>
  <xr:revisionPtr revIDLastSave="0" documentId="13_ncr:1_{1BB0B603-4998-4E1A-9F0B-8133C46E3CE5}" xr6:coauthVersionLast="47" xr6:coauthVersionMax="47" xr10:uidLastSave="{00000000-0000-0000-0000-000000000000}"/>
  <bookViews>
    <workbookView xWindow="7500" yWindow="5325" windowWidth="28800" windowHeight="15345" activeTab="3" xr2:uid="{00000000-000D-0000-FFFF-FFFF00000000}"/>
  </bookViews>
  <sheets>
    <sheet name="PivotCategory" sheetId="3" r:id="rId1"/>
    <sheet name="PivotModel" sheetId="4" r:id="rId2"/>
    <sheet name="PivotCountryResolution" sheetId="5" r:id="rId3"/>
    <sheet name="RawData" sheetId="2" r:id="rId4"/>
  </sheets>
  <definedNames>
    <definedName name="ExternalData_1" localSheetId="3" hidden="1">'RawData'!$A$1:$P$41</definedName>
  </definedNames>
  <calcPr calcId="162913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2123CC-2AC5-4AAB-9318-F557DDE4832C}" keepAlive="1" name="Query - RawData" description="Connection to the 'RawData' query in the workbook." type="5" refreshedVersion="8" background="1" saveData="1">
    <dbPr connection="Provider=Microsoft.Mashup.OleDb.1;Data Source=$Workbook$;Location=RawData;Extended Properties=&quot;&quot;" command="SELECT * FROM [RawData]"/>
  </connection>
</connections>
</file>

<file path=xl/sharedStrings.xml><?xml version="1.0" encoding="utf-8"?>
<sst xmlns="http://schemas.openxmlformats.org/spreadsheetml/2006/main" count="415" uniqueCount="58">
  <si>
    <t>ComplaintId</t>
  </si>
  <si>
    <t>ComplaintDate</t>
  </si>
  <si>
    <t>ComplaintCategory</t>
  </si>
  <si>
    <t>Severity</t>
  </si>
  <si>
    <t>ComplaintStatus</t>
  </si>
  <si>
    <t>ResolutionTimeDays</t>
  </si>
  <si>
    <t>UnderWarranty</t>
  </si>
  <si>
    <t>DeviceId</t>
  </si>
  <si>
    <t>ModelName</t>
  </si>
  <si>
    <t>DeviceCategory</t>
  </si>
  <si>
    <t>ReleaseYear</t>
  </si>
  <si>
    <t>PriceSegment</t>
  </si>
  <si>
    <t>CustomerId</t>
  </si>
  <si>
    <t>Country</t>
  </si>
  <si>
    <t>AgeGroup</t>
  </si>
  <si>
    <t>BuyChannel</t>
  </si>
  <si>
    <t>Battery</t>
  </si>
  <si>
    <t>High</t>
  </si>
  <si>
    <t>Closed</t>
  </si>
  <si>
    <t>Nova Hear 100</t>
  </si>
  <si>
    <t>In-Ear</t>
  </si>
  <si>
    <t>Budget</t>
  </si>
  <si>
    <t>Poland</t>
  </si>
  <si>
    <t>18-25</t>
  </si>
  <si>
    <t>Online</t>
  </si>
  <si>
    <t>Connectivity</t>
  </si>
  <si>
    <t>Medium</t>
  </si>
  <si>
    <t>Open</t>
  </si>
  <si>
    <t>NULL</t>
  </si>
  <si>
    <t>26-40</t>
  </si>
  <si>
    <t>Retail</t>
  </si>
  <si>
    <t>Sound</t>
  </si>
  <si>
    <t>Low</t>
  </si>
  <si>
    <t>Nova Hear 200</t>
  </si>
  <si>
    <t>Mid</t>
  </si>
  <si>
    <t>Germany</t>
  </si>
  <si>
    <t>Comfort</t>
  </si>
  <si>
    <t>40-60</t>
  </si>
  <si>
    <t>Critical</t>
  </si>
  <si>
    <t>ClearSound Air</t>
  </si>
  <si>
    <t>Over-Ear</t>
  </si>
  <si>
    <t>Premium</t>
  </si>
  <si>
    <t>USA</t>
  </si>
  <si>
    <t>ClearSound Pro</t>
  </si>
  <si>
    <t>BasicTone Lite</t>
  </si>
  <si>
    <t>WaveSense Mini</t>
  </si>
  <si>
    <t>France</t>
  </si>
  <si>
    <t>WaveSense Plus</t>
  </si>
  <si>
    <t>AudioFlex Pro</t>
  </si>
  <si>
    <t>Spain</t>
  </si>
  <si>
    <t>AudioFlex Lite</t>
  </si>
  <si>
    <t>QuietBuds</t>
  </si>
  <si>
    <t>Italy</t>
  </si>
  <si>
    <t>UK</t>
  </si>
  <si>
    <t>Row Labels</t>
  </si>
  <si>
    <t>Grand Total</t>
  </si>
  <si>
    <t>Sum of ComplaintId</t>
  </si>
  <si>
    <t>Average of ResolutionTimeDays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</si>
</sst>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eksii" refreshedDate="45979.932507754631" createdVersion="8" refreshedVersion="8" minRefreshableVersion="3" recordCount="40" xr:uid="{68582701-EB5B-4DEE-B1ED-7045001A955B}">
  <cacheSource type="worksheet">
    <worksheetSource name="RawData"/>
  </cacheSource>
  <cacheFields count="16">
    <cacheField name="ComplaintId" numFmtId="0">
      <sharedItems containsSemiMixedTypes="0" containsString="0" containsNumber="1" containsInteger="1" minValue="1" maxValue="40"/>
    </cacheField>
    <cacheField name="ComplaintDate" numFmtId="14">
      <sharedItems containsSemiMixedTypes="0" containsNonDate="0" containsDate="1" containsString="0" minDate="2024-01-05T00:00:00" maxDate="2024-11-12T00:00:00"/>
    </cacheField>
    <cacheField name="ComplaintCategory" numFmtId="0">
      <sharedItems count="4">
        <s v="Battery"/>
        <s v="Connectivity"/>
        <s v="Sound"/>
        <s v="Comfort"/>
      </sharedItems>
    </cacheField>
    <cacheField name="Severity" numFmtId="0">
      <sharedItems/>
    </cacheField>
    <cacheField name="ComplaintStatus" numFmtId="0">
      <sharedItems/>
    </cacheField>
    <cacheField name="ResolutionTimeDays" numFmtId="0">
      <sharedItems containsMixedTypes="1" containsNumber="1" containsInteger="1" minValue="1" maxValue="13" count="14">
        <n v="5"/>
        <s v="NULL"/>
        <n v="2"/>
        <n v="7"/>
        <n v="10"/>
        <n v="3"/>
        <n v="1"/>
        <n v="12"/>
        <n v="4"/>
        <n v="9"/>
        <n v="6"/>
        <n v="11"/>
        <n v="8"/>
        <n v="13"/>
      </sharedItems>
    </cacheField>
    <cacheField name="UnderWarranty" numFmtId="0">
      <sharedItems containsSemiMixedTypes="0" containsString="0" containsNumber="1" containsInteger="1" minValue="0" maxValue="1"/>
    </cacheField>
    <cacheField name="DeviceId" numFmtId="0">
      <sharedItems containsSemiMixedTypes="0" containsString="0" containsNumber="1" containsInteger="1" minValue="1" maxValue="10"/>
    </cacheField>
    <cacheField name="ModelName" numFmtId="0">
      <sharedItems count="10">
        <s v="Nova Hear 100"/>
        <s v="Nova Hear 200"/>
        <s v="ClearSound Air"/>
        <s v="ClearSound Pro"/>
        <s v="BasicTone Lite"/>
        <s v="WaveSense Mini"/>
        <s v="WaveSense Plus"/>
        <s v="AudioFlex Pro"/>
        <s v="AudioFlex Lite"/>
        <s v="QuietBuds"/>
      </sharedItems>
    </cacheField>
    <cacheField name="DeviceCategory" numFmtId="0">
      <sharedItems/>
    </cacheField>
    <cacheField name="ReleaseYear" numFmtId="0">
      <sharedItems containsSemiMixedTypes="0" containsString="0" containsNumber="1" containsInteger="1" minValue="2019" maxValue="2023"/>
    </cacheField>
    <cacheField name="PriceSegment" numFmtId="0">
      <sharedItems/>
    </cacheField>
    <cacheField name="CustomerId" numFmtId="0">
      <sharedItems containsSemiMixedTypes="0" containsString="0" containsNumber="1" containsInteger="1" minValue="1" maxValue="15"/>
    </cacheField>
    <cacheField name="Country" numFmtId="0">
      <sharedItems count="7">
        <s v="Poland"/>
        <s v="Germany"/>
        <s v="USA"/>
        <s v="France"/>
        <s v="Spain"/>
        <s v="Italy"/>
        <s v="UK"/>
      </sharedItems>
    </cacheField>
    <cacheField name="AgeGroup" numFmtId="0">
      <sharedItems/>
    </cacheField>
    <cacheField name="BuyChann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d v="2024-01-05T00:00:00"/>
    <x v="0"/>
    <s v="High"/>
    <s v="Closed"/>
    <x v="0"/>
    <n v="1"/>
    <n v="1"/>
    <x v="0"/>
    <s v="In-Ear"/>
    <n v="2020"/>
    <s v="Budget"/>
    <n v="1"/>
    <x v="0"/>
    <s v="18-25"/>
    <s v="Online"/>
  </r>
  <r>
    <n v="2"/>
    <d v="2024-02-10T00:00:00"/>
    <x v="1"/>
    <s v="Medium"/>
    <s v="Open"/>
    <x v="1"/>
    <n v="1"/>
    <n v="1"/>
    <x v="0"/>
    <s v="In-Ear"/>
    <n v="2020"/>
    <s v="Budget"/>
    <n v="2"/>
    <x v="0"/>
    <s v="26-40"/>
    <s v="Retail"/>
  </r>
  <r>
    <n v="3"/>
    <d v="2024-01-15T00:00:00"/>
    <x v="2"/>
    <s v="Low"/>
    <s v="Closed"/>
    <x v="2"/>
    <n v="1"/>
    <n v="2"/>
    <x v="1"/>
    <s v="In-Ear"/>
    <n v="2021"/>
    <s v="Mid"/>
    <n v="3"/>
    <x v="1"/>
    <s v="26-40"/>
    <s v="Online"/>
  </r>
  <r>
    <n v="4"/>
    <d v="2024-02-03T00:00:00"/>
    <x v="3"/>
    <s v="High"/>
    <s v="Closed"/>
    <x v="3"/>
    <n v="0"/>
    <n v="2"/>
    <x v="1"/>
    <s v="In-Ear"/>
    <n v="2021"/>
    <s v="Mid"/>
    <n v="4"/>
    <x v="1"/>
    <s v="40-60"/>
    <s v="Retail"/>
  </r>
  <r>
    <n v="5"/>
    <d v="2024-03-12T00:00:00"/>
    <x v="0"/>
    <s v="Critical"/>
    <s v="Closed"/>
    <x v="4"/>
    <n v="1"/>
    <n v="3"/>
    <x v="2"/>
    <s v="Over-Ear"/>
    <n v="2022"/>
    <s v="Premium"/>
    <n v="5"/>
    <x v="2"/>
    <s v="18-25"/>
    <s v="Online"/>
  </r>
  <r>
    <n v="6"/>
    <d v="2024-03-20T00:00:00"/>
    <x v="1"/>
    <s v="High"/>
    <s v="Open"/>
    <x v="1"/>
    <n v="1"/>
    <n v="4"/>
    <x v="3"/>
    <s v="Over-Ear"/>
    <n v="2023"/>
    <s v="Premium"/>
    <n v="6"/>
    <x v="2"/>
    <s v="26-40"/>
    <s v="Online"/>
  </r>
  <r>
    <n v="7"/>
    <d v="2024-04-11T00:00:00"/>
    <x v="2"/>
    <s v="Medium"/>
    <s v="Closed"/>
    <x v="5"/>
    <n v="0"/>
    <n v="5"/>
    <x v="4"/>
    <s v="In-Ear"/>
    <n v="2019"/>
    <s v="Budget"/>
    <n v="7"/>
    <x v="2"/>
    <s v="40-60"/>
    <s v="Retail"/>
  </r>
  <r>
    <n v="8"/>
    <d v="2024-05-01T00:00:00"/>
    <x v="3"/>
    <s v="Low"/>
    <s v="Closed"/>
    <x v="6"/>
    <n v="1"/>
    <n v="6"/>
    <x v="5"/>
    <s v="In-Ear"/>
    <n v="2021"/>
    <s v="Mid"/>
    <n v="8"/>
    <x v="3"/>
    <s v="26-40"/>
    <s v="Online"/>
  </r>
  <r>
    <n v="9"/>
    <d v="2024-05-18T00:00:00"/>
    <x v="0"/>
    <s v="High"/>
    <s v="Open"/>
    <x v="1"/>
    <n v="1"/>
    <n v="7"/>
    <x v="6"/>
    <s v="In-Ear"/>
    <n v="2023"/>
    <s v="Mid"/>
    <n v="9"/>
    <x v="3"/>
    <s v="40-60"/>
    <s v="Retail"/>
  </r>
  <r>
    <n v="10"/>
    <d v="2024-06-02T00:00:00"/>
    <x v="0"/>
    <s v="Critical"/>
    <s v="Closed"/>
    <x v="7"/>
    <n v="0"/>
    <n v="8"/>
    <x v="7"/>
    <s v="Over-Ear"/>
    <n v="2020"/>
    <s v="Premium"/>
    <n v="10"/>
    <x v="4"/>
    <s v="18-25"/>
    <s v="Retail"/>
  </r>
  <r>
    <n v="11"/>
    <d v="2024-06-15T00:00:00"/>
    <x v="1"/>
    <s v="Medium"/>
    <s v="Closed"/>
    <x v="8"/>
    <n v="1"/>
    <n v="9"/>
    <x v="8"/>
    <s v="Over-Ear"/>
    <n v="2021"/>
    <s v="Mid"/>
    <n v="11"/>
    <x v="4"/>
    <s v="26-40"/>
    <s v="Online"/>
  </r>
  <r>
    <n v="12"/>
    <d v="2024-07-03T00:00:00"/>
    <x v="2"/>
    <s v="Low"/>
    <s v="Closed"/>
    <x v="2"/>
    <n v="1"/>
    <n v="10"/>
    <x v="9"/>
    <s v="In-Ear"/>
    <n v="2022"/>
    <s v="Budget"/>
    <n v="12"/>
    <x v="5"/>
    <s v="40-60"/>
    <s v="Online"/>
  </r>
  <r>
    <n v="13"/>
    <d v="2024-07-14T00:00:00"/>
    <x v="3"/>
    <s v="High"/>
    <s v="Open"/>
    <x v="1"/>
    <n v="1"/>
    <n v="1"/>
    <x v="0"/>
    <s v="In-Ear"/>
    <n v="2020"/>
    <s v="Budget"/>
    <n v="13"/>
    <x v="5"/>
    <s v="26-40"/>
    <s v="Retail"/>
  </r>
  <r>
    <n v="14"/>
    <d v="2024-08-01T00:00:00"/>
    <x v="1"/>
    <s v="Critical"/>
    <s v="Closed"/>
    <x v="9"/>
    <n v="1"/>
    <n v="2"/>
    <x v="1"/>
    <s v="In-Ear"/>
    <n v="2021"/>
    <s v="Mid"/>
    <n v="14"/>
    <x v="6"/>
    <s v="26-40"/>
    <s v="Online"/>
  </r>
  <r>
    <n v="15"/>
    <d v="2024-08-10T00:00:00"/>
    <x v="0"/>
    <s v="Low"/>
    <s v="Closed"/>
    <x v="5"/>
    <n v="0"/>
    <n v="3"/>
    <x v="2"/>
    <s v="Over-Ear"/>
    <n v="2022"/>
    <s v="Premium"/>
    <n v="15"/>
    <x v="6"/>
    <s v="40-60"/>
    <s v="Retail"/>
  </r>
  <r>
    <n v="16"/>
    <d v="2024-09-01T00:00:00"/>
    <x v="0"/>
    <s v="Medium"/>
    <s v="Closed"/>
    <x v="10"/>
    <n v="1"/>
    <n v="4"/>
    <x v="3"/>
    <s v="Over-Ear"/>
    <n v="2023"/>
    <s v="Premium"/>
    <n v="1"/>
    <x v="0"/>
    <s v="18-25"/>
    <s v="Online"/>
  </r>
  <r>
    <n v="17"/>
    <d v="2024-09-05T00:00:00"/>
    <x v="1"/>
    <s v="High"/>
    <s v="Closed"/>
    <x v="3"/>
    <n v="1"/>
    <n v="5"/>
    <x v="4"/>
    <s v="In-Ear"/>
    <n v="2019"/>
    <s v="Budget"/>
    <n v="2"/>
    <x v="0"/>
    <s v="26-40"/>
    <s v="Retail"/>
  </r>
  <r>
    <n v="18"/>
    <d v="2024-09-09T00:00:00"/>
    <x v="3"/>
    <s v="Critical"/>
    <s v="Closed"/>
    <x v="11"/>
    <n v="0"/>
    <n v="6"/>
    <x v="5"/>
    <s v="In-Ear"/>
    <n v="2021"/>
    <s v="Mid"/>
    <n v="3"/>
    <x v="1"/>
    <s v="26-40"/>
    <s v="Online"/>
  </r>
  <r>
    <n v="19"/>
    <d v="2024-09-14T00:00:00"/>
    <x v="2"/>
    <s v="Low"/>
    <s v="Closed"/>
    <x v="2"/>
    <n v="1"/>
    <n v="7"/>
    <x v="6"/>
    <s v="In-Ear"/>
    <n v="2023"/>
    <s v="Mid"/>
    <n v="4"/>
    <x v="1"/>
    <s v="40-60"/>
    <s v="Retail"/>
  </r>
  <r>
    <n v="20"/>
    <d v="2024-09-20T00:00:00"/>
    <x v="0"/>
    <s v="Critical"/>
    <s v="Open"/>
    <x v="1"/>
    <n v="1"/>
    <n v="8"/>
    <x v="7"/>
    <s v="Over-Ear"/>
    <n v="2020"/>
    <s v="Premium"/>
    <n v="5"/>
    <x v="2"/>
    <s v="18-25"/>
    <s v="Online"/>
  </r>
  <r>
    <n v="21"/>
    <d v="2024-10-01T00:00:00"/>
    <x v="0"/>
    <s v="Medium"/>
    <s v="Closed"/>
    <x v="8"/>
    <n v="1"/>
    <n v="9"/>
    <x v="8"/>
    <s v="Over-Ear"/>
    <n v="2021"/>
    <s v="Mid"/>
    <n v="6"/>
    <x v="2"/>
    <s v="26-40"/>
    <s v="Online"/>
  </r>
  <r>
    <n v="22"/>
    <d v="2024-10-04T00:00:00"/>
    <x v="3"/>
    <s v="High"/>
    <s v="Closed"/>
    <x v="12"/>
    <n v="0"/>
    <n v="10"/>
    <x v="9"/>
    <s v="In-Ear"/>
    <n v="2022"/>
    <s v="Budget"/>
    <n v="7"/>
    <x v="2"/>
    <s v="40-60"/>
    <s v="Retail"/>
  </r>
  <r>
    <n v="23"/>
    <d v="2024-10-10T00:00:00"/>
    <x v="1"/>
    <s v="Low"/>
    <s v="Closed"/>
    <x v="5"/>
    <n v="1"/>
    <n v="1"/>
    <x v="0"/>
    <s v="In-Ear"/>
    <n v="2020"/>
    <s v="Budget"/>
    <n v="8"/>
    <x v="3"/>
    <s v="26-40"/>
    <s v="Online"/>
  </r>
  <r>
    <n v="24"/>
    <d v="2024-10-11T00:00:00"/>
    <x v="2"/>
    <s v="Critical"/>
    <s v="Closed"/>
    <x v="7"/>
    <n v="1"/>
    <n v="2"/>
    <x v="1"/>
    <s v="In-Ear"/>
    <n v="2021"/>
    <s v="Mid"/>
    <n v="9"/>
    <x v="3"/>
    <s v="40-60"/>
    <s v="Retail"/>
  </r>
  <r>
    <n v="25"/>
    <d v="2024-10-12T00:00:00"/>
    <x v="0"/>
    <s v="Medium"/>
    <s v="Open"/>
    <x v="1"/>
    <n v="1"/>
    <n v="3"/>
    <x v="2"/>
    <s v="Over-Ear"/>
    <n v="2022"/>
    <s v="Premium"/>
    <n v="10"/>
    <x v="4"/>
    <s v="18-25"/>
    <s v="Retail"/>
  </r>
  <r>
    <n v="26"/>
    <d v="2024-10-20T00:00:00"/>
    <x v="2"/>
    <s v="High"/>
    <s v="Closed"/>
    <x v="10"/>
    <n v="1"/>
    <n v="4"/>
    <x v="3"/>
    <s v="Over-Ear"/>
    <n v="2023"/>
    <s v="Premium"/>
    <n v="11"/>
    <x v="4"/>
    <s v="26-40"/>
    <s v="Online"/>
  </r>
  <r>
    <n v="27"/>
    <d v="2024-10-22T00:00:00"/>
    <x v="3"/>
    <s v="Low"/>
    <s v="Closed"/>
    <x v="6"/>
    <n v="1"/>
    <n v="5"/>
    <x v="4"/>
    <s v="In-Ear"/>
    <n v="2019"/>
    <s v="Budget"/>
    <n v="12"/>
    <x v="5"/>
    <s v="40-60"/>
    <s v="Online"/>
  </r>
  <r>
    <n v="28"/>
    <d v="2024-10-25T00:00:00"/>
    <x v="0"/>
    <s v="High"/>
    <s v="Closed"/>
    <x v="0"/>
    <n v="0"/>
    <n v="6"/>
    <x v="5"/>
    <s v="In-Ear"/>
    <n v="2021"/>
    <s v="Mid"/>
    <n v="13"/>
    <x v="5"/>
    <s v="26-40"/>
    <s v="Retail"/>
  </r>
  <r>
    <n v="29"/>
    <d v="2024-10-28T00:00:00"/>
    <x v="1"/>
    <s v="Medium"/>
    <s v="Closed"/>
    <x v="8"/>
    <n v="1"/>
    <n v="7"/>
    <x v="6"/>
    <s v="In-Ear"/>
    <n v="2023"/>
    <s v="Mid"/>
    <n v="14"/>
    <x v="6"/>
    <s v="26-40"/>
    <s v="Online"/>
  </r>
  <r>
    <n v="30"/>
    <d v="2024-10-30T00:00:00"/>
    <x v="2"/>
    <s v="Low"/>
    <s v="Open"/>
    <x v="1"/>
    <n v="1"/>
    <n v="8"/>
    <x v="7"/>
    <s v="Over-Ear"/>
    <n v="2020"/>
    <s v="Premium"/>
    <n v="15"/>
    <x v="6"/>
    <s v="40-60"/>
    <s v="Retail"/>
  </r>
  <r>
    <n v="31"/>
    <d v="2024-11-01T00:00:00"/>
    <x v="0"/>
    <s v="Critical"/>
    <s v="Closed"/>
    <x v="13"/>
    <n v="0"/>
    <n v="9"/>
    <x v="8"/>
    <s v="Over-Ear"/>
    <n v="2021"/>
    <s v="Mid"/>
    <n v="1"/>
    <x v="0"/>
    <s v="18-25"/>
    <s v="Online"/>
  </r>
  <r>
    <n v="32"/>
    <d v="2024-11-03T00:00:00"/>
    <x v="1"/>
    <s v="High"/>
    <s v="Closed"/>
    <x v="3"/>
    <n v="1"/>
    <n v="10"/>
    <x v="9"/>
    <s v="In-Ear"/>
    <n v="2022"/>
    <s v="Budget"/>
    <n v="2"/>
    <x v="0"/>
    <s v="26-40"/>
    <s v="Retail"/>
  </r>
  <r>
    <n v="33"/>
    <d v="2024-11-04T00:00:00"/>
    <x v="2"/>
    <s v="Medium"/>
    <s v="Closed"/>
    <x v="5"/>
    <n v="1"/>
    <n v="1"/>
    <x v="0"/>
    <s v="In-Ear"/>
    <n v="2020"/>
    <s v="Budget"/>
    <n v="3"/>
    <x v="1"/>
    <s v="26-40"/>
    <s v="Online"/>
  </r>
  <r>
    <n v="34"/>
    <d v="2024-11-05T00:00:00"/>
    <x v="3"/>
    <s v="Medium"/>
    <s v="Open"/>
    <x v="1"/>
    <n v="1"/>
    <n v="2"/>
    <x v="1"/>
    <s v="In-Ear"/>
    <n v="2021"/>
    <s v="Mid"/>
    <n v="4"/>
    <x v="1"/>
    <s v="40-60"/>
    <s v="Retail"/>
  </r>
  <r>
    <n v="35"/>
    <d v="2024-11-06T00:00:00"/>
    <x v="0"/>
    <s v="High"/>
    <s v="Closed"/>
    <x v="12"/>
    <n v="1"/>
    <n v="3"/>
    <x v="2"/>
    <s v="Over-Ear"/>
    <n v="2022"/>
    <s v="Premium"/>
    <n v="5"/>
    <x v="2"/>
    <s v="18-25"/>
    <s v="Online"/>
  </r>
  <r>
    <n v="36"/>
    <d v="2024-11-07T00:00:00"/>
    <x v="1"/>
    <s v="Low"/>
    <s v="Closed"/>
    <x v="2"/>
    <n v="1"/>
    <n v="4"/>
    <x v="3"/>
    <s v="Over-Ear"/>
    <n v="2023"/>
    <s v="Premium"/>
    <n v="6"/>
    <x v="2"/>
    <s v="26-40"/>
    <s v="Online"/>
  </r>
  <r>
    <n v="37"/>
    <d v="2024-11-08T00:00:00"/>
    <x v="0"/>
    <s v="Medium"/>
    <s v="Closed"/>
    <x v="0"/>
    <n v="0"/>
    <n v="5"/>
    <x v="4"/>
    <s v="In-Ear"/>
    <n v="2019"/>
    <s v="Budget"/>
    <n v="7"/>
    <x v="2"/>
    <s v="40-60"/>
    <s v="Retail"/>
  </r>
  <r>
    <n v="38"/>
    <d v="2024-11-09T00:00:00"/>
    <x v="2"/>
    <s v="Critical"/>
    <s v="Closed"/>
    <x v="4"/>
    <n v="1"/>
    <n v="6"/>
    <x v="5"/>
    <s v="In-Ear"/>
    <n v="2021"/>
    <s v="Mid"/>
    <n v="8"/>
    <x v="3"/>
    <s v="26-40"/>
    <s v="Online"/>
  </r>
  <r>
    <n v="39"/>
    <d v="2024-11-10T00:00:00"/>
    <x v="3"/>
    <s v="Low"/>
    <s v="Closed"/>
    <x v="6"/>
    <n v="1"/>
    <n v="7"/>
    <x v="6"/>
    <s v="In-Ear"/>
    <n v="2023"/>
    <s v="Mid"/>
    <n v="9"/>
    <x v="3"/>
    <s v="40-60"/>
    <s v="Retail"/>
  </r>
  <r>
    <n v="40"/>
    <d v="2024-11-11T00:00:00"/>
    <x v="0"/>
    <s v="High"/>
    <s v="Open"/>
    <x v="1"/>
    <n v="1"/>
    <n v="8"/>
    <x v="7"/>
    <s v="Over-Ear"/>
    <n v="2020"/>
    <s v="Premium"/>
    <n v="10"/>
    <x v="4"/>
    <s v="18-25"/>
    <s v="Reta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3E849-188B-42DA-8E6D-A8A84524740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16">
    <pivotField dataField="1" showAll="0"/>
    <pivotField numFmtId="1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mplaint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AB22CC-5CD5-4B4F-8214-91A42474D713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13" firstHeaderRow="1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8"/>
        <item x="7"/>
        <item x="4"/>
        <item x="2"/>
        <item x="3"/>
        <item x="0"/>
        <item x="1"/>
        <item x="9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Complaint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6EA77-2BA3-4BD7-933E-4A055D9A907B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10" firstHeaderRow="1" firstDataRow="1" firstDataCol="1"/>
  <pivotFields count="16">
    <pivotField showAll="0"/>
    <pivotField numFmtId="14" showAll="0"/>
    <pivotField showAll="0"/>
    <pivotField showAll="0"/>
    <pivotField showAll="0"/>
    <pivotField dataField="1" showAll="0">
      <items count="15">
        <item x="6"/>
        <item x="2"/>
        <item x="5"/>
        <item x="8"/>
        <item x="0"/>
        <item x="10"/>
        <item x="3"/>
        <item x="12"/>
        <item x="9"/>
        <item x="4"/>
        <item x="11"/>
        <item x="7"/>
        <item x="1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5"/>
        <item x="0"/>
        <item x="4"/>
        <item x="6"/>
        <item x="2"/>
        <item t="default"/>
      </items>
    </pivotField>
    <pivotField showAll="0"/>
    <pivotField showAll="0"/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esolutionTimeDays" fld="5" subtotal="average" baseField="1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0FB0CE-B12F-4997-9234-266DDB8AF529}" autoFormatId="16" applyNumberFormats="0" applyBorderFormats="0" applyFontFormats="0" applyPatternFormats="0" applyAlignmentFormats="0" applyWidthHeightFormats="0">
  <queryTableRefresh nextId="17">
    <queryTableFields count="16">
      <queryTableField id="1" name="ComplaintId" tableColumnId="1"/>
      <queryTableField id="2" name="ComplaintDate" tableColumnId="2"/>
      <queryTableField id="3" name="ComplaintCategory" tableColumnId="3"/>
      <queryTableField id="4" name="Severity" tableColumnId="4"/>
      <queryTableField id="5" name="ComplaintStatus" tableColumnId="5"/>
      <queryTableField id="6" name="ResolutionTimeDays" tableColumnId="6"/>
      <queryTableField id="7" name="UnderWarranty" tableColumnId="7"/>
      <queryTableField id="8" name="DeviceId" tableColumnId="8"/>
      <queryTableField id="9" name="ModelName" tableColumnId="9"/>
      <queryTableField id="10" name="DeviceCategory" tableColumnId="10"/>
      <queryTableField id="11" name="ReleaseYear" tableColumnId="11"/>
      <queryTableField id="12" name="PriceSegment" tableColumnId="12"/>
      <queryTableField id="13" name="CustomerId" tableColumnId="13"/>
      <queryTableField id="14" name="Country" tableColumnId="14"/>
      <queryTableField id="15" name="AgeGroup" tableColumnId="15"/>
      <queryTableField id="16" name="BuyChannel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C5CFA-A7BA-4D1B-B5E2-0417419F9ED8}" name="RawData" displayName="RawData" ref="A1:P41" tableType="queryTable" totalsRowShown="0">
  <autoFilter ref="A1:P41" xr:uid="{E50C5CFA-A7BA-4D1B-B5E2-0417419F9ED8}"/>
  <tableColumns count="16">
    <tableColumn id="1" xr3:uid="{8B5C63EE-1368-4424-8B69-8D4F86697DDE}" uniqueName="1" name="ComplaintId" queryTableFieldId="1"/>
    <tableColumn id="2" xr3:uid="{E1D6FDF5-1FB0-4BA5-891D-E02C2864F9B5}" uniqueName="2" name="ComplaintDate" queryTableFieldId="2" dataDxfId="9"/>
    <tableColumn id="3" xr3:uid="{4400F6A7-3F34-4F5B-97D1-B9FF256903EC}" uniqueName="3" name="ComplaintCategory" queryTableFieldId="3" dataDxfId="8"/>
    <tableColumn id="4" xr3:uid="{744A4EE1-F86C-4B75-8C53-1C1EC91100FC}" uniqueName="4" name="Severity" queryTableFieldId="4" dataDxfId="7"/>
    <tableColumn id="5" xr3:uid="{F47CBE1F-E81E-4EC8-A8C2-9153D56DA464}" uniqueName="5" name="ComplaintStatus" queryTableFieldId="5" dataDxfId="6"/>
    <tableColumn id="6" xr3:uid="{03A8CFD2-1CEB-4708-8D45-ADECF9F46BF8}" uniqueName="6" name="ResolutionTimeDays" queryTableFieldId="6"/>
    <tableColumn id="7" xr3:uid="{E295DAC1-6BC4-470D-85F0-045FC36E7C58}" uniqueName="7" name="UnderWarranty" queryTableFieldId="7"/>
    <tableColumn id="8" xr3:uid="{FB46D624-04A9-4C15-A56F-55A8565EF9FB}" uniqueName="8" name="DeviceId" queryTableFieldId="8"/>
    <tableColumn id="9" xr3:uid="{7602BCDE-0C3F-4638-83EB-ECCCE86802F7}" uniqueName="9" name="ModelName" queryTableFieldId="9" dataDxfId="5"/>
    <tableColumn id="10" xr3:uid="{A9E4D58C-31F3-4806-BCC0-A39CA2CD1DCF}" uniqueName="10" name="DeviceCategory" queryTableFieldId="10" dataDxfId="4"/>
    <tableColumn id="11" xr3:uid="{FF6F7324-9342-44B3-BAA7-9730DE8B8552}" uniqueName="11" name="ReleaseYear" queryTableFieldId="11"/>
    <tableColumn id="12" xr3:uid="{A68BBDC4-5CF4-44E2-B82F-DDCB0782FA57}" uniqueName="12" name="PriceSegment" queryTableFieldId="12" dataDxfId="3"/>
    <tableColumn id="13" xr3:uid="{EA12CF09-C2BB-48D2-A3A4-0AE881D3150F}" uniqueName="13" name="CustomerId" queryTableFieldId="13"/>
    <tableColumn id="14" xr3:uid="{F2400782-8C33-44D5-B94C-297E0E5D0292}" uniqueName="14" name="Country" queryTableFieldId="14" dataDxfId="2"/>
    <tableColumn id="15" xr3:uid="{5A22F280-E6D0-46C9-9151-A6719EB35BC7}" uniqueName="15" name="AgeGroup" queryTableFieldId="15" dataDxfId="1"/>
    <tableColumn id="16" xr3:uid="{C4440B6F-1459-47F5-9F92-F149253FBA74}" uniqueName="16" name="BuyChannel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FA41-BDCD-41D3-8C94-D6C8D77FF761}">
  <dimension ref="B2:C7"/>
  <sheetViews>
    <sheetView workbookViewId="0">
      <selection activeCell="C9" sqref="C9"/>
    </sheetView>
  </sheetViews>
  <sheetFormatPr defaultRowHeight="15" x14ac:dyDescent="0.25"/>
  <cols>
    <col min="1" max="1" width="13.140625" bestFit="1" customWidth="1"/>
    <col min="2" max="3" width="18.7109375" bestFit="1" customWidth="1"/>
  </cols>
  <sheetData>
    <row r="2" spans="2:3" x14ac:dyDescent="0.25">
      <c r="B2" s="3" t="s">
        <v>54</v>
      </c>
      <c r="C2" t="s">
        <v>56</v>
      </c>
    </row>
    <row r="3" spans="2:3" x14ac:dyDescent="0.25">
      <c r="B3" s="4" t="s">
        <v>16</v>
      </c>
      <c r="C3" s="2">
        <v>293</v>
      </c>
    </row>
    <row r="4" spans="2:3" x14ac:dyDescent="0.25">
      <c r="B4" s="4" t="s">
        <v>36</v>
      </c>
      <c r="C4" s="2">
        <v>165</v>
      </c>
    </row>
    <row r="5" spans="2:3" x14ac:dyDescent="0.25">
      <c r="B5" s="4" t="s">
        <v>25</v>
      </c>
      <c r="C5" s="2">
        <v>170</v>
      </c>
    </row>
    <row r="6" spans="2:3" x14ac:dyDescent="0.25">
      <c r="B6" s="4" t="s">
        <v>31</v>
      </c>
      <c r="C6" s="2">
        <v>192</v>
      </c>
    </row>
    <row r="7" spans="2:3" x14ac:dyDescent="0.25">
      <c r="B7" s="4" t="s">
        <v>55</v>
      </c>
      <c r="C7" s="2">
        <v>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0605-2CC4-4B3D-88DF-00C346DC0C6B}">
  <dimension ref="B2:C13"/>
  <sheetViews>
    <sheetView workbookViewId="0">
      <selection activeCell="C2" sqref="C2"/>
    </sheetView>
  </sheetViews>
  <sheetFormatPr defaultRowHeight="15" x14ac:dyDescent="0.25"/>
  <cols>
    <col min="2" max="2" width="15.85546875" bestFit="1" customWidth="1"/>
    <col min="3" max="3" width="18.7109375" bestFit="1" customWidth="1"/>
  </cols>
  <sheetData>
    <row r="2" spans="2:3" x14ac:dyDescent="0.25">
      <c r="B2" s="3" t="s">
        <v>54</v>
      </c>
      <c r="C2" t="s">
        <v>56</v>
      </c>
    </row>
    <row r="3" spans="2:3" x14ac:dyDescent="0.25">
      <c r="B3" s="4" t="s">
        <v>50</v>
      </c>
      <c r="C3" s="2">
        <v>63</v>
      </c>
    </row>
    <row r="4" spans="2:3" x14ac:dyDescent="0.25">
      <c r="B4" s="4" t="s">
        <v>48</v>
      </c>
      <c r="C4" s="2">
        <v>100</v>
      </c>
    </row>
    <row r="5" spans="2:3" x14ac:dyDescent="0.25">
      <c r="B5" s="4" t="s">
        <v>44</v>
      </c>
      <c r="C5" s="2">
        <v>88</v>
      </c>
    </row>
    <row r="6" spans="2:3" x14ac:dyDescent="0.25">
      <c r="B6" s="4" t="s">
        <v>39</v>
      </c>
      <c r="C6" s="2">
        <v>80</v>
      </c>
    </row>
    <row r="7" spans="2:3" x14ac:dyDescent="0.25">
      <c r="B7" s="4" t="s">
        <v>43</v>
      </c>
      <c r="C7" s="2">
        <v>84</v>
      </c>
    </row>
    <row r="8" spans="2:3" x14ac:dyDescent="0.25">
      <c r="B8" s="4" t="s">
        <v>19</v>
      </c>
      <c r="C8" s="2">
        <v>72</v>
      </c>
    </row>
    <row r="9" spans="2:3" x14ac:dyDescent="0.25">
      <c r="B9" s="4" t="s">
        <v>33</v>
      </c>
      <c r="C9" s="2">
        <v>79</v>
      </c>
    </row>
    <row r="10" spans="2:3" x14ac:dyDescent="0.25">
      <c r="B10" s="4" t="s">
        <v>51</v>
      </c>
      <c r="C10" s="2">
        <v>66</v>
      </c>
    </row>
    <row r="11" spans="2:3" x14ac:dyDescent="0.25">
      <c r="B11" s="4" t="s">
        <v>45</v>
      </c>
      <c r="C11" s="2">
        <v>92</v>
      </c>
    </row>
    <row r="12" spans="2:3" x14ac:dyDescent="0.25">
      <c r="B12" s="4" t="s">
        <v>47</v>
      </c>
      <c r="C12" s="2">
        <v>96</v>
      </c>
    </row>
    <row r="13" spans="2:3" x14ac:dyDescent="0.25">
      <c r="B13" s="4" t="s">
        <v>55</v>
      </c>
      <c r="C13" s="2">
        <v>820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B2AE-CB2B-4FCE-9D2C-125AFEDA729B}">
  <dimension ref="B2:C10"/>
  <sheetViews>
    <sheetView workbookViewId="0">
      <selection activeCell="B2" sqref="B2"/>
    </sheetView>
  </sheetViews>
  <sheetFormatPr defaultRowHeight="15" x14ac:dyDescent="0.25"/>
  <cols>
    <col min="1" max="2" width="13.140625" bestFit="1" customWidth="1"/>
    <col min="3" max="3" width="29.85546875" bestFit="1" customWidth="1"/>
  </cols>
  <sheetData>
    <row r="2" spans="2:3" x14ac:dyDescent="0.25">
      <c r="B2" s="3" t="s">
        <v>54</v>
      </c>
      <c r="C2" t="s">
        <v>57</v>
      </c>
    </row>
    <row r="3" spans="2:3" x14ac:dyDescent="0.25">
      <c r="B3" s="4" t="s">
        <v>46</v>
      </c>
      <c r="C3" s="5">
        <v>5.4</v>
      </c>
    </row>
    <row r="4" spans="2:3" x14ac:dyDescent="0.25">
      <c r="B4" s="4" t="s">
        <v>35</v>
      </c>
      <c r="C4" s="5">
        <v>5</v>
      </c>
    </row>
    <row r="5" spans="2:3" x14ac:dyDescent="0.25">
      <c r="B5" s="4" t="s">
        <v>52</v>
      </c>
      <c r="C5" s="5">
        <v>2.6666666666666665</v>
      </c>
    </row>
    <row r="6" spans="2:3" x14ac:dyDescent="0.25">
      <c r="B6" s="4" t="s">
        <v>22</v>
      </c>
      <c r="C6" s="5">
        <v>7.6</v>
      </c>
    </row>
    <row r="7" spans="2:3" x14ac:dyDescent="0.25">
      <c r="B7" s="4" t="s">
        <v>49</v>
      </c>
      <c r="C7" s="5">
        <v>7.333333333333333</v>
      </c>
    </row>
    <row r="8" spans="2:3" x14ac:dyDescent="0.25">
      <c r="B8" s="4" t="s">
        <v>53</v>
      </c>
      <c r="C8" s="5">
        <v>5.333333333333333</v>
      </c>
    </row>
    <row r="9" spans="2:3" x14ac:dyDescent="0.25">
      <c r="B9" s="4" t="s">
        <v>42</v>
      </c>
      <c r="C9" s="5">
        <v>5.7142857142857144</v>
      </c>
    </row>
    <row r="10" spans="2:3" x14ac:dyDescent="0.25">
      <c r="B10" s="4" t="s">
        <v>55</v>
      </c>
      <c r="C10" s="5">
        <v>5.67741935483871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EFCE-8901-414C-B547-8218E64EAF61}">
  <dimension ref="A1:P41"/>
  <sheetViews>
    <sheetView tabSelected="1" topLeftCell="A2" workbookViewId="0">
      <selection activeCell="C4" sqref="C4"/>
    </sheetView>
  </sheetViews>
  <sheetFormatPr defaultRowHeight="15" x14ac:dyDescent="0.25"/>
  <cols>
    <col min="1" max="1" width="14.140625" bestFit="1" customWidth="1"/>
    <col min="2" max="2" width="16.7109375" bestFit="1" customWidth="1"/>
    <col min="3" max="3" width="20.5703125" bestFit="1" customWidth="1"/>
    <col min="4" max="4" width="10.5703125" bestFit="1" customWidth="1"/>
    <col min="5" max="5" width="18" bestFit="1" customWidth="1"/>
    <col min="6" max="6" width="21.7109375" bestFit="1" customWidth="1"/>
    <col min="7" max="7" width="17.28515625" bestFit="1" customWidth="1"/>
    <col min="8" max="8" width="11" bestFit="1" customWidth="1"/>
    <col min="9" max="9" width="15.85546875" bestFit="1" customWidth="1"/>
    <col min="10" max="10" width="17.28515625" bestFit="1" customWidth="1"/>
    <col min="11" max="11" width="14.28515625" bestFit="1" customWidth="1"/>
    <col min="12" max="12" width="15.7109375" bestFit="1" customWidth="1"/>
    <col min="13" max="13" width="13.5703125" bestFit="1" customWidth="1"/>
    <col min="14" max="14" width="10.28515625" bestFit="1" customWidth="1"/>
    <col min="15" max="15" width="12.28515625" bestFit="1" customWidth="1"/>
    <col min="16" max="16" width="13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s="1">
        <v>45296</v>
      </c>
      <c r="C2" s="2" t="s">
        <v>16</v>
      </c>
      <c r="D2" s="2" t="s">
        <v>17</v>
      </c>
      <c r="E2" s="2" t="s">
        <v>18</v>
      </c>
      <c r="F2">
        <v>5</v>
      </c>
      <c r="G2">
        <v>1</v>
      </c>
      <c r="H2">
        <v>1</v>
      </c>
      <c r="I2" s="2" t="s">
        <v>19</v>
      </c>
      <c r="J2" s="2" t="s">
        <v>20</v>
      </c>
      <c r="K2">
        <v>2020</v>
      </c>
      <c r="L2" s="2" t="s">
        <v>21</v>
      </c>
      <c r="M2">
        <v>1</v>
      </c>
      <c r="N2" s="2" t="s">
        <v>22</v>
      </c>
      <c r="O2" s="2" t="s">
        <v>23</v>
      </c>
      <c r="P2" s="2" t="s">
        <v>24</v>
      </c>
    </row>
    <row r="3" spans="1:16" x14ac:dyDescent="0.25">
      <c r="A3">
        <v>2</v>
      </c>
      <c r="B3" s="1">
        <v>45332</v>
      </c>
      <c r="C3" s="2" t="s">
        <v>25</v>
      </c>
      <c r="D3" s="2" t="s">
        <v>26</v>
      </c>
      <c r="E3" s="2" t="s">
        <v>27</v>
      </c>
      <c r="F3" t="s">
        <v>28</v>
      </c>
      <c r="G3">
        <v>1</v>
      </c>
      <c r="H3">
        <v>1</v>
      </c>
      <c r="I3" s="2" t="s">
        <v>19</v>
      </c>
      <c r="J3" s="2" t="s">
        <v>20</v>
      </c>
      <c r="K3">
        <v>2020</v>
      </c>
      <c r="L3" s="2" t="s">
        <v>21</v>
      </c>
      <c r="M3">
        <v>2</v>
      </c>
      <c r="N3" s="2" t="s">
        <v>22</v>
      </c>
      <c r="O3" s="2" t="s">
        <v>29</v>
      </c>
      <c r="P3" s="2" t="s">
        <v>30</v>
      </c>
    </row>
    <row r="4" spans="1:16" x14ac:dyDescent="0.25">
      <c r="A4">
        <v>3</v>
      </c>
      <c r="B4" s="1">
        <v>45306</v>
      </c>
      <c r="C4" s="2" t="s">
        <v>31</v>
      </c>
      <c r="D4" s="2" t="s">
        <v>32</v>
      </c>
      <c r="E4" s="2" t="s">
        <v>18</v>
      </c>
      <c r="F4">
        <v>2</v>
      </c>
      <c r="G4">
        <v>1</v>
      </c>
      <c r="H4">
        <v>2</v>
      </c>
      <c r="I4" s="2" t="s">
        <v>33</v>
      </c>
      <c r="J4" s="2" t="s">
        <v>20</v>
      </c>
      <c r="K4">
        <v>2021</v>
      </c>
      <c r="L4" s="2" t="s">
        <v>34</v>
      </c>
      <c r="M4">
        <v>3</v>
      </c>
      <c r="N4" s="2" t="s">
        <v>35</v>
      </c>
      <c r="O4" s="2" t="s">
        <v>29</v>
      </c>
      <c r="P4" s="2" t="s">
        <v>24</v>
      </c>
    </row>
    <row r="5" spans="1:16" x14ac:dyDescent="0.25">
      <c r="A5">
        <v>4</v>
      </c>
      <c r="B5" s="1">
        <v>45325</v>
      </c>
      <c r="C5" s="2" t="s">
        <v>36</v>
      </c>
      <c r="D5" s="2" t="s">
        <v>17</v>
      </c>
      <c r="E5" s="2" t="s">
        <v>18</v>
      </c>
      <c r="F5">
        <v>7</v>
      </c>
      <c r="G5">
        <v>0</v>
      </c>
      <c r="H5">
        <v>2</v>
      </c>
      <c r="I5" s="2" t="s">
        <v>33</v>
      </c>
      <c r="J5" s="2" t="s">
        <v>20</v>
      </c>
      <c r="K5">
        <v>2021</v>
      </c>
      <c r="L5" s="2" t="s">
        <v>34</v>
      </c>
      <c r="M5">
        <v>4</v>
      </c>
      <c r="N5" s="2" t="s">
        <v>35</v>
      </c>
      <c r="O5" s="2" t="s">
        <v>37</v>
      </c>
      <c r="P5" s="2" t="s">
        <v>30</v>
      </c>
    </row>
    <row r="6" spans="1:16" x14ac:dyDescent="0.25">
      <c r="A6">
        <v>5</v>
      </c>
      <c r="B6" s="1">
        <v>45363</v>
      </c>
      <c r="C6" s="2" t="s">
        <v>16</v>
      </c>
      <c r="D6" s="2" t="s">
        <v>38</v>
      </c>
      <c r="E6" s="2" t="s">
        <v>18</v>
      </c>
      <c r="F6">
        <v>10</v>
      </c>
      <c r="G6">
        <v>1</v>
      </c>
      <c r="H6">
        <v>3</v>
      </c>
      <c r="I6" s="2" t="s">
        <v>39</v>
      </c>
      <c r="J6" s="2" t="s">
        <v>40</v>
      </c>
      <c r="K6">
        <v>2022</v>
      </c>
      <c r="L6" s="2" t="s">
        <v>41</v>
      </c>
      <c r="M6">
        <v>5</v>
      </c>
      <c r="N6" s="2" t="s">
        <v>42</v>
      </c>
      <c r="O6" s="2" t="s">
        <v>23</v>
      </c>
      <c r="P6" s="2" t="s">
        <v>24</v>
      </c>
    </row>
    <row r="7" spans="1:16" x14ac:dyDescent="0.25">
      <c r="A7">
        <v>6</v>
      </c>
      <c r="B7" s="1">
        <v>45371</v>
      </c>
      <c r="C7" s="2" t="s">
        <v>25</v>
      </c>
      <c r="D7" s="2" t="s">
        <v>17</v>
      </c>
      <c r="E7" s="2" t="s">
        <v>27</v>
      </c>
      <c r="F7" t="s">
        <v>28</v>
      </c>
      <c r="G7">
        <v>1</v>
      </c>
      <c r="H7">
        <v>4</v>
      </c>
      <c r="I7" s="2" t="s">
        <v>43</v>
      </c>
      <c r="J7" s="2" t="s">
        <v>40</v>
      </c>
      <c r="K7">
        <v>2023</v>
      </c>
      <c r="L7" s="2" t="s">
        <v>41</v>
      </c>
      <c r="M7">
        <v>6</v>
      </c>
      <c r="N7" s="2" t="s">
        <v>42</v>
      </c>
      <c r="O7" s="2" t="s">
        <v>29</v>
      </c>
      <c r="P7" s="2" t="s">
        <v>24</v>
      </c>
    </row>
    <row r="8" spans="1:16" x14ac:dyDescent="0.25">
      <c r="A8">
        <v>7</v>
      </c>
      <c r="B8" s="1">
        <v>45393</v>
      </c>
      <c r="C8" s="2" t="s">
        <v>31</v>
      </c>
      <c r="D8" s="2" t="s">
        <v>26</v>
      </c>
      <c r="E8" s="2" t="s">
        <v>18</v>
      </c>
      <c r="F8">
        <v>3</v>
      </c>
      <c r="G8">
        <v>0</v>
      </c>
      <c r="H8">
        <v>5</v>
      </c>
      <c r="I8" s="2" t="s">
        <v>44</v>
      </c>
      <c r="J8" s="2" t="s">
        <v>20</v>
      </c>
      <c r="K8">
        <v>2019</v>
      </c>
      <c r="L8" s="2" t="s">
        <v>21</v>
      </c>
      <c r="M8">
        <v>7</v>
      </c>
      <c r="N8" s="2" t="s">
        <v>42</v>
      </c>
      <c r="O8" s="2" t="s">
        <v>37</v>
      </c>
      <c r="P8" s="2" t="s">
        <v>30</v>
      </c>
    </row>
    <row r="9" spans="1:16" x14ac:dyDescent="0.25">
      <c r="A9">
        <v>8</v>
      </c>
      <c r="B9" s="1">
        <v>45413</v>
      </c>
      <c r="C9" s="2" t="s">
        <v>36</v>
      </c>
      <c r="D9" s="2" t="s">
        <v>32</v>
      </c>
      <c r="E9" s="2" t="s">
        <v>18</v>
      </c>
      <c r="F9">
        <v>1</v>
      </c>
      <c r="G9">
        <v>1</v>
      </c>
      <c r="H9">
        <v>6</v>
      </c>
      <c r="I9" s="2" t="s">
        <v>45</v>
      </c>
      <c r="J9" s="2" t="s">
        <v>20</v>
      </c>
      <c r="K9">
        <v>2021</v>
      </c>
      <c r="L9" s="2" t="s">
        <v>34</v>
      </c>
      <c r="M9">
        <v>8</v>
      </c>
      <c r="N9" s="2" t="s">
        <v>46</v>
      </c>
      <c r="O9" s="2" t="s">
        <v>29</v>
      </c>
      <c r="P9" s="2" t="s">
        <v>24</v>
      </c>
    </row>
    <row r="10" spans="1:16" x14ac:dyDescent="0.25">
      <c r="A10">
        <v>9</v>
      </c>
      <c r="B10" s="1">
        <v>45430</v>
      </c>
      <c r="C10" s="2" t="s">
        <v>16</v>
      </c>
      <c r="D10" s="2" t="s">
        <v>17</v>
      </c>
      <c r="E10" s="2" t="s">
        <v>27</v>
      </c>
      <c r="F10" t="s">
        <v>28</v>
      </c>
      <c r="G10">
        <v>1</v>
      </c>
      <c r="H10">
        <v>7</v>
      </c>
      <c r="I10" s="2" t="s">
        <v>47</v>
      </c>
      <c r="J10" s="2" t="s">
        <v>20</v>
      </c>
      <c r="K10">
        <v>2023</v>
      </c>
      <c r="L10" s="2" t="s">
        <v>34</v>
      </c>
      <c r="M10">
        <v>9</v>
      </c>
      <c r="N10" s="2" t="s">
        <v>46</v>
      </c>
      <c r="O10" s="2" t="s">
        <v>37</v>
      </c>
      <c r="P10" s="2" t="s">
        <v>30</v>
      </c>
    </row>
    <row r="11" spans="1:16" x14ac:dyDescent="0.25">
      <c r="A11">
        <v>10</v>
      </c>
      <c r="B11" s="1">
        <v>45445</v>
      </c>
      <c r="C11" s="2" t="s">
        <v>16</v>
      </c>
      <c r="D11" s="2" t="s">
        <v>38</v>
      </c>
      <c r="E11" s="2" t="s">
        <v>18</v>
      </c>
      <c r="F11">
        <v>12</v>
      </c>
      <c r="G11">
        <v>0</v>
      </c>
      <c r="H11">
        <v>8</v>
      </c>
      <c r="I11" s="2" t="s">
        <v>48</v>
      </c>
      <c r="J11" s="2" t="s">
        <v>40</v>
      </c>
      <c r="K11">
        <v>2020</v>
      </c>
      <c r="L11" s="2" t="s">
        <v>41</v>
      </c>
      <c r="M11">
        <v>10</v>
      </c>
      <c r="N11" s="2" t="s">
        <v>49</v>
      </c>
      <c r="O11" s="2" t="s">
        <v>23</v>
      </c>
      <c r="P11" s="2" t="s">
        <v>30</v>
      </c>
    </row>
    <row r="12" spans="1:16" x14ac:dyDescent="0.25">
      <c r="A12">
        <v>11</v>
      </c>
      <c r="B12" s="1">
        <v>45458</v>
      </c>
      <c r="C12" s="2" t="s">
        <v>25</v>
      </c>
      <c r="D12" s="2" t="s">
        <v>26</v>
      </c>
      <c r="E12" s="2" t="s">
        <v>18</v>
      </c>
      <c r="F12">
        <v>4</v>
      </c>
      <c r="G12">
        <v>1</v>
      </c>
      <c r="H12">
        <v>9</v>
      </c>
      <c r="I12" s="2" t="s">
        <v>50</v>
      </c>
      <c r="J12" s="2" t="s">
        <v>40</v>
      </c>
      <c r="K12">
        <v>2021</v>
      </c>
      <c r="L12" s="2" t="s">
        <v>34</v>
      </c>
      <c r="M12">
        <v>11</v>
      </c>
      <c r="N12" s="2" t="s">
        <v>49</v>
      </c>
      <c r="O12" s="2" t="s">
        <v>29</v>
      </c>
      <c r="P12" s="2" t="s">
        <v>24</v>
      </c>
    </row>
    <row r="13" spans="1:16" x14ac:dyDescent="0.25">
      <c r="A13">
        <v>12</v>
      </c>
      <c r="B13" s="1">
        <v>45476</v>
      </c>
      <c r="C13" s="2" t="s">
        <v>31</v>
      </c>
      <c r="D13" s="2" t="s">
        <v>32</v>
      </c>
      <c r="E13" s="2" t="s">
        <v>18</v>
      </c>
      <c r="F13">
        <v>2</v>
      </c>
      <c r="G13">
        <v>1</v>
      </c>
      <c r="H13">
        <v>10</v>
      </c>
      <c r="I13" s="2" t="s">
        <v>51</v>
      </c>
      <c r="J13" s="2" t="s">
        <v>20</v>
      </c>
      <c r="K13">
        <v>2022</v>
      </c>
      <c r="L13" s="2" t="s">
        <v>21</v>
      </c>
      <c r="M13">
        <v>12</v>
      </c>
      <c r="N13" s="2" t="s">
        <v>52</v>
      </c>
      <c r="O13" s="2" t="s">
        <v>37</v>
      </c>
      <c r="P13" s="2" t="s">
        <v>24</v>
      </c>
    </row>
    <row r="14" spans="1:16" x14ac:dyDescent="0.25">
      <c r="A14">
        <v>13</v>
      </c>
      <c r="B14" s="1">
        <v>45487</v>
      </c>
      <c r="C14" s="2" t="s">
        <v>36</v>
      </c>
      <c r="D14" s="2" t="s">
        <v>17</v>
      </c>
      <c r="E14" s="2" t="s">
        <v>27</v>
      </c>
      <c r="F14" t="s">
        <v>28</v>
      </c>
      <c r="G14">
        <v>1</v>
      </c>
      <c r="H14">
        <v>1</v>
      </c>
      <c r="I14" s="2" t="s">
        <v>19</v>
      </c>
      <c r="J14" s="2" t="s">
        <v>20</v>
      </c>
      <c r="K14">
        <v>2020</v>
      </c>
      <c r="L14" s="2" t="s">
        <v>21</v>
      </c>
      <c r="M14">
        <v>13</v>
      </c>
      <c r="N14" s="2" t="s">
        <v>52</v>
      </c>
      <c r="O14" s="2" t="s">
        <v>29</v>
      </c>
      <c r="P14" s="2" t="s">
        <v>30</v>
      </c>
    </row>
    <row r="15" spans="1:16" x14ac:dyDescent="0.25">
      <c r="A15">
        <v>14</v>
      </c>
      <c r="B15" s="1">
        <v>45505</v>
      </c>
      <c r="C15" s="2" t="s">
        <v>25</v>
      </c>
      <c r="D15" s="2" t="s">
        <v>38</v>
      </c>
      <c r="E15" s="2" t="s">
        <v>18</v>
      </c>
      <c r="F15">
        <v>9</v>
      </c>
      <c r="G15">
        <v>1</v>
      </c>
      <c r="H15">
        <v>2</v>
      </c>
      <c r="I15" s="2" t="s">
        <v>33</v>
      </c>
      <c r="J15" s="2" t="s">
        <v>20</v>
      </c>
      <c r="K15">
        <v>2021</v>
      </c>
      <c r="L15" s="2" t="s">
        <v>34</v>
      </c>
      <c r="M15">
        <v>14</v>
      </c>
      <c r="N15" s="2" t="s">
        <v>53</v>
      </c>
      <c r="O15" s="2" t="s">
        <v>29</v>
      </c>
      <c r="P15" s="2" t="s">
        <v>24</v>
      </c>
    </row>
    <row r="16" spans="1:16" x14ac:dyDescent="0.25">
      <c r="A16">
        <v>15</v>
      </c>
      <c r="B16" s="1">
        <v>45514</v>
      </c>
      <c r="C16" s="2" t="s">
        <v>16</v>
      </c>
      <c r="D16" s="2" t="s">
        <v>32</v>
      </c>
      <c r="E16" s="2" t="s">
        <v>18</v>
      </c>
      <c r="F16">
        <v>3</v>
      </c>
      <c r="G16">
        <v>0</v>
      </c>
      <c r="H16">
        <v>3</v>
      </c>
      <c r="I16" s="2" t="s">
        <v>39</v>
      </c>
      <c r="J16" s="2" t="s">
        <v>40</v>
      </c>
      <c r="K16">
        <v>2022</v>
      </c>
      <c r="L16" s="2" t="s">
        <v>41</v>
      </c>
      <c r="M16">
        <v>15</v>
      </c>
      <c r="N16" s="2" t="s">
        <v>53</v>
      </c>
      <c r="O16" s="2" t="s">
        <v>37</v>
      </c>
      <c r="P16" s="2" t="s">
        <v>30</v>
      </c>
    </row>
    <row r="17" spans="1:16" x14ac:dyDescent="0.25">
      <c r="A17">
        <v>16</v>
      </c>
      <c r="B17" s="1">
        <v>45536</v>
      </c>
      <c r="C17" s="2" t="s">
        <v>16</v>
      </c>
      <c r="D17" s="2" t="s">
        <v>26</v>
      </c>
      <c r="E17" s="2" t="s">
        <v>18</v>
      </c>
      <c r="F17">
        <v>6</v>
      </c>
      <c r="G17">
        <v>1</v>
      </c>
      <c r="H17">
        <v>4</v>
      </c>
      <c r="I17" s="2" t="s">
        <v>43</v>
      </c>
      <c r="J17" s="2" t="s">
        <v>40</v>
      </c>
      <c r="K17">
        <v>2023</v>
      </c>
      <c r="L17" s="2" t="s">
        <v>41</v>
      </c>
      <c r="M17">
        <v>1</v>
      </c>
      <c r="N17" s="2" t="s">
        <v>22</v>
      </c>
      <c r="O17" s="2" t="s">
        <v>23</v>
      </c>
      <c r="P17" s="2" t="s">
        <v>24</v>
      </c>
    </row>
    <row r="18" spans="1:16" x14ac:dyDescent="0.25">
      <c r="A18">
        <v>17</v>
      </c>
      <c r="B18" s="1">
        <v>45540</v>
      </c>
      <c r="C18" s="2" t="s">
        <v>25</v>
      </c>
      <c r="D18" s="2" t="s">
        <v>17</v>
      </c>
      <c r="E18" s="2" t="s">
        <v>18</v>
      </c>
      <c r="F18">
        <v>7</v>
      </c>
      <c r="G18">
        <v>1</v>
      </c>
      <c r="H18">
        <v>5</v>
      </c>
      <c r="I18" s="2" t="s">
        <v>44</v>
      </c>
      <c r="J18" s="2" t="s">
        <v>20</v>
      </c>
      <c r="K18">
        <v>2019</v>
      </c>
      <c r="L18" s="2" t="s">
        <v>21</v>
      </c>
      <c r="M18">
        <v>2</v>
      </c>
      <c r="N18" s="2" t="s">
        <v>22</v>
      </c>
      <c r="O18" s="2" t="s">
        <v>29</v>
      </c>
      <c r="P18" s="2" t="s">
        <v>30</v>
      </c>
    </row>
    <row r="19" spans="1:16" x14ac:dyDescent="0.25">
      <c r="A19">
        <v>18</v>
      </c>
      <c r="B19" s="1">
        <v>45544</v>
      </c>
      <c r="C19" s="2" t="s">
        <v>36</v>
      </c>
      <c r="D19" s="2" t="s">
        <v>38</v>
      </c>
      <c r="E19" s="2" t="s">
        <v>18</v>
      </c>
      <c r="F19">
        <v>11</v>
      </c>
      <c r="G19">
        <v>0</v>
      </c>
      <c r="H19">
        <v>6</v>
      </c>
      <c r="I19" s="2" t="s">
        <v>45</v>
      </c>
      <c r="J19" s="2" t="s">
        <v>20</v>
      </c>
      <c r="K19">
        <v>2021</v>
      </c>
      <c r="L19" s="2" t="s">
        <v>34</v>
      </c>
      <c r="M19">
        <v>3</v>
      </c>
      <c r="N19" s="2" t="s">
        <v>35</v>
      </c>
      <c r="O19" s="2" t="s">
        <v>29</v>
      </c>
      <c r="P19" s="2" t="s">
        <v>24</v>
      </c>
    </row>
    <row r="20" spans="1:16" x14ac:dyDescent="0.25">
      <c r="A20">
        <v>19</v>
      </c>
      <c r="B20" s="1">
        <v>45549</v>
      </c>
      <c r="C20" s="2" t="s">
        <v>31</v>
      </c>
      <c r="D20" s="2" t="s">
        <v>32</v>
      </c>
      <c r="E20" s="2" t="s">
        <v>18</v>
      </c>
      <c r="F20">
        <v>2</v>
      </c>
      <c r="G20">
        <v>1</v>
      </c>
      <c r="H20">
        <v>7</v>
      </c>
      <c r="I20" s="2" t="s">
        <v>47</v>
      </c>
      <c r="J20" s="2" t="s">
        <v>20</v>
      </c>
      <c r="K20">
        <v>2023</v>
      </c>
      <c r="L20" s="2" t="s">
        <v>34</v>
      </c>
      <c r="M20">
        <v>4</v>
      </c>
      <c r="N20" s="2" t="s">
        <v>35</v>
      </c>
      <c r="O20" s="2" t="s">
        <v>37</v>
      </c>
      <c r="P20" s="2" t="s">
        <v>30</v>
      </c>
    </row>
    <row r="21" spans="1:16" x14ac:dyDescent="0.25">
      <c r="A21">
        <v>20</v>
      </c>
      <c r="B21" s="1">
        <v>45555</v>
      </c>
      <c r="C21" s="2" t="s">
        <v>16</v>
      </c>
      <c r="D21" s="2" t="s">
        <v>38</v>
      </c>
      <c r="E21" s="2" t="s">
        <v>27</v>
      </c>
      <c r="F21" t="s">
        <v>28</v>
      </c>
      <c r="G21">
        <v>1</v>
      </c>
      <c r="H21">
        <v>8</v>
      </c>
      <c r="I21" s="2" t="s">
        <v>48</v>
      </c>
      <c r="J21" s="2" t="s">
        <v>40</v>
      </c>
      <c r="K21">
        <v>2020</v>
      </c>
      <c r="L21" s="2" t="s">
        <v>41</v>
      </c>
      <c r="M21">
        <v>5</v>
      </c>
      <c r="N21" s="2" t="s">
        <v>42</v>
      </c>
      <c r="O21" s="2" t="s">
        <v>23</v>
      </c>
      <c r="P21" s="2" t="s">
        <v>24</v>
      </c>
    </row>
    <row r="22" spans="1:16" x14ac:dyDescent="0.25">
      <c r="A22">
        <v>21</v>
      </c>
      <c r="B22" s="1">
        <v>45566</v>
      </c>
      <c r="C22" s="2" t="s">
        <v>16</v>
      </c>
      <c r="D22" s="2" t="s">
        <v>26</v>
      </c>
      <c r="E22" s="2" t="s">
        <v>18</v>
      </c>
      <c r="F22">
        <v>4</v>
      </c>
      <c r="G22">
        <v>1</v>
      </c>
      <c r="H22">
        <v>9</v>
      </c>
      <c r="I22" s="2" t="s">
        <v>50</v>
      </c>
      <c r="J22" s="2" t="s">
        <v>40</v>
      </c>
      <c r="K22">
        <v>2021</v>
      </c>
      <c r="L22" s="2" t="s">
        <v>34</v>
      </c>
      <c r="M22">
        <v>6</v>
      </c>
      <c r="N22" s="2" t="s">
        <v>42</v>
      </c>
      <c r="O22" s="2" t="s">
        <v>29</v>
      </c>
      <c r="P22" s="2" t="s">
        <v>24</v>
      </c>
    </row>
    <row r="23" spans="1:16" x14ac:dyDescent="0.25">
      <c r="A23">
        <v>22</v>
      </c>
      <c r="B23" s="1">
        <v>45569</v>
      </c>
      <c r="C23" s="2" t="s">
        <v>36</v>
      </c>
      <c r="D23" s="2" t="s">
        <v>17</v>
      </c>
      <c r="E23" s="2" t="s">
        <v>18</v>
      </c>
      <c r="F23">
        <v>8</v>
      </c>
      <c r="G23">
        <v>0</v>
      </c>
      <c r="H23">
        <v>10</v>
      </c>
      <c r="I23" s="2" t="s">
        <v>51</v>
      </c>
      <c r="J23" s="2" t="s">
        <v>20</v>
      </c>
      <c r="K23">
        <v>2022</v>
      </c>
      <c r="L23" s="2" t="s">
        <v>21</v>
      </c>
      <c r="M23">
        <v>7</v>
      </c>
      <c r="N23" s="2" t="s">
        <v>42</v>
      </c>
      <c r="O23" s="2" t="s">
        <v>37</v>
      </c>
      <c r="P23" s="2" t="s">
        <v>30</v>
      </c>
    </row>
    <row r="24" spans="1:16" x14ac:dyDescent="0.25">
      <c r="A24">
        <v>23</v>
      </c>
      <c r="B24" s="1">
        <v>45575</v>
      </c>
      <c r="C24" s="2" t="s">
        <v>25</v>
      </c>
      <c r="D24" s="2" t="s">
        <v>32</v>
      </c>
      <c r="E24" s="2" t="s">
        <v>18</v>
      </c>
      <c r="F24">
        <v>3</v>
      </c>
      <c r="G24">
        <v>1</v>
      </c>
      <c r="H24">
        <v>1</v>
      </c>
      <c r="I24" s="2" t="s">
        <v>19</v>
      </c>
      <c r="J24" s="2" t="s">
        <v>20</v>
      </c>
      <c r="K24">
        <v>2020</v>
      </c>
      <c r="L24" s="2" t="s">
        <v>21</v>
      </c>
      <c r="M24">
        <v>8</v>
      </c>
      <c r="N24" s="2" t="s">
        <v>46</v>
      </c>
      <c r="O24" s="2" t="s">
        <v>29</v>
      </c>
      <c r="P24" s="2" t="s">
        <v>24</v>
      </c>
    </row>
    <row r="25" spans="1:16" x14ac:dyDescent="0.25">
      <c r="A25">
        <v>24</v>
      </c>
      <c r="B25" s="1">
        <v>45576</v>
      </c>
      <c r="C25" s="2" t="s">
        <v>31</v>
      </c>
      <c r="D25" s="2" t="s">
        <v>38</v>
      </c>
      <c r="E25" s="2" t="s">
        <v>18</v>
      </c>
      <c r="F25">
        <v>12</v>
      </c>
      <c r="G25">
        <v>1</v>
      </c>
      <c r="H25">
        <v>2</v>
      </c>
      <c r="I25" s="2" t="s">
        <v>33</v>
      </c>
      <c r="J25" s="2" t="s">
        <v>20</v>
      </c>
      <c r="K25">
        <v>2021</v>
      </c>
      <c r="L25" s="2" t="s">
        <v>34</v>
      </c>
      <c r="M25">
        <v>9</v>
      </c>
      <c r="N25" s="2" t="s">
        <v>46</v>
      </c>
      <c r="O25" s="2" t="s">
        <v>37</v>
      </c>
      <c r="P25" s="2" t="s">
        <v>30</v>
      </c>
    </row>
    <row r="26" spans="1:16" x14ac:dyDescent="0.25">
      <c r="A26">
        <v>25</v>
      </c>
      <c r="B26" s="1">
        <v>45577</v>
      </c>
      <c r="C26" s="2" t="s">
        <v>16</v>
      </c>
      <c r="D26" s="2" t="s">
        <v>26</v>
      </c>
      <c r="E26" s="2" t="s">
        <v>27</v>
      </c>
      <c r="F26" t="s">
        <v>28</v>
      </c>
      <c r="G26">
        <v>1</v>
      </c>
      <c r="H26">
        <v>3</v>
      </c>
      <c r="I26" s="2" t="s">
        <v>39</v>
      </c>
      <c r="J26" s="2" t="s">
        <v>40</v>
      </c>
      <c r="K26">
        <v>2022</v>
      </c>
      <c r="L26" s="2" t="s">
        <v>41</v>
      </c>
      <c r="M26">
        <v>10</v>
      </c>
      <c r="N26" s="2" t="s">
        <v>49</v>
      </c>
      <c r="O26" s="2" t="s">
        <v>23</v>
      </c>
      <c r="P26" s="2" t="s">
        <v>30</v>
      </c>
    </row>
    <row r="27" spans="1:16" x14ac:dyDescent="0.25">
      <c r="A27">
        <v>26</v>
      </c>
      <c r="B27" s="1">
        <v>45585</v>
      </c>
      <c r="C27" s="2" t="s">
        <v>31</v>
      </c>
      <c r="D27" s="2" t="s">
        <v>17</v>
      </c>
      <c r="E27" s="2" t="s">
        <v>18</v>
      </c>
      <c r="F27">
        <v>6</v>
      </c>
      <c r="G27">
        <v>1</v>
      </c>
      <c r="H27">
        <v>4</v>
      </c>
      <c r="I27" s="2" t="s">
        <v>43</v>
      </c>
      <c r="J27" s="2" t="s">
        <v>40</v>
      </c>
      <c r="K27">
        <v>2023</v>
      </c>
      <c r="L27" s="2" t="s">
        <v>41</v>
      </c>
      <c r="M27">
        <v>11</v>
      </c>
      <c r="N27" s="2" t="s">
        <v>49</v>
      </c>
      <c r="O27" s="2" t="s">
        <v>29</v>
      </c>
      <c r="P27" s="2" t="s">
        <v>24</v>
      </c>
    </row>
    <row r="28" spans="1:16" x14ac:dyDescent="0.25">
      <c r="A28">
        <v>27</v>
      </c>
      <c r="B28" s="1">
        <v>45587</v>
      </c>
      <c r="C28" s="2" t="s">
        <v>36</v>
      </c>
      <c r="D28" s="2" t="s">
        <v>32</v>
      </c>
      <c r="E28" s="2" t="s">
        <v>18</v>
      </c>
      <c r="F28">
        <v>1</v>
      </c>
      <c r="G28">
        <v>1</v>
      </c>
      <c r="H28">
        <v>5</v>
      </c>
      <c r="I28" s="2" t="s">
        <v>44</v>
      </c>
      <c r="J28" s="2" t="s">
        <v>20</v>
      </c>
      <c r="K28">
        <v>2019</v>
      </c>
      <c r="L28" s="2" t="s">
        <v>21</v>
      </c>
      <c r="M28">
        <v>12</v>
      </c>
      <c r="N28" s="2" t="s">
        <v>52</v>
      </c>
      <c r="O28" s="2" t="s">
        <v>37</v>
      </c>
      <c r="P28" s="2" t="s">
        <v>24</v>
      </c>
    </row>
    <row r="29" spans="1:16" x14ac:dyDescent="0.25">
      <c r="A29">
        <v>28</v>
      </c>
      <c r="B29" s="1">
        <v>45590</v>
      </c>
      <c r="C29" s="2" t="s">
        <v>16</v>
      </c>
      <c r="D29" s="2" t="s">
        <v>17</v>
      </c>
      <c r="E29" s="2" t="s">
        <v>18</v>
      </c>
      <c r="F29">
        <v>5</v>
      </c>
      <c r="G29">
        <v>0</v>
      </c>
      <c r="H29">
        <v>6</v>
      </c>
      <c r="I29" s="2" t="s">
        <v>45</v>
      </c>
      <c r="J29" s="2" t="s">
        <v>20</v>
      </c>
      <c r="K29">
        <v>2021</v>
      </c>
      <c r="L29" s="2" t="s">
        <v>34</v>
      </c>
      <c r="M29">
        <v>13</v>
      </c>
      <c r="N29" s="2" t="s">
        <v>52</v>
      </c>
      <c r="O29" s="2" t="s">
        <v>29</v>
      </c>
      <c r="P29" s="2" t="s">
        <v>30</v>
      </c>
    </row>
    <row r="30" spans="1:16" x14ac:dyDescent="0.25">
      <c r="A30">
        <v>29</v>
      </c>
      <c r="B30" s="1">
        <v>45593</v>
      </c>
      <c r="C30" s="2" t="s">
        <v>25</v>
      </c>
      <c r="D30" s="2" t="s">
        <v>26</v>
      </c>
      <c r="E30" s="2" t="s">
        <v>18</v>
      </c>
      <c r="F30">
        <v>4</v>
      </c>
      <c r="G30">
        <v>1</v>
      </c>
      <c r="H30">
        <v>7</v>
      </c>
      <c r="I30" s="2" t="s">
        <v>47</v>
      </c>
      <c r="J30" s="2" t="s">
        <v>20</v>
      </c>
      <c r="K30">
        <v>2023</v>
      </c>
      <c r="L30" s="2" t="s">
        <v>34</v>
      </c>
      <c r="M30">
        <v>14</v>
      </c>
      <c r="N30" s="2" t="s">
        <v>53</v>
      </c>
      <c r="O30" s="2" t="s">
        <v>29</v>
      </c>
      <c r="P30" s="2" t="s">
        <v>24</v>
      </c>
    </row>
    <row r="31" spans="1:16" x14ac:dyDescent="0.25">
      <c r="A31">
        <v>30</v>
      </c>
      <c r="B31" s="1">
        <v>45595</v>
      </c>
      <c r="C31" s="2" t="s">
        <v>31</v>
      </c>
      <c r="D31" s="2" t="s">
        <v>32</v>
      </c>
      <c r="E31" s="2" t="s">
        <v>27</v>
      </c>
      <c r="F31" t="s">
        <v>28</v>
      </c>
      <c r="G31">
        <v>1</v>
      </c>
      <c r="H31">
        <v>8</v>
      </c>
      <c r="I31" s="2" t="s">
        <v>48</v>
      </c>
      <c r="J31" s="2" t="s">
        <v>40</v>
      </c>
      <c r="K31">
        <v>2020</v>
      </c>
      <c r="L31" s="2" t="s">
        <v>41</v>
      </c>
      <c r="M31">
        <v>15</v>
      </c>
      <c r="N31" s="2" t="s">
        <v>53</v>
      </c>
      <c r="O31" s="2" t="s">
        <v>37</v>
      </c>
      <c r="P31" s="2" t="s">
        <v>30</v>
      </c>
    </row>
    <row r="32" spans="1:16" x14ac:dyDescent="0.25">
      <c r="A32">
        <v>31</v>
      </c>
      <c r="B32" s="1">
        <v>45597</v>
      </c>
      <c r="C32" s="2" t="s">
        <v>16</v>
      </c>
      <c r="D32" s="2" t="s">
        <v>38</v>
      </c>
      <c r="E32" s="2" t="s">
        <v>18</v>
      </c>
      <c r="F32">
        <v>13</v>
      </c>
      <c r="G32">
        <v>0</v>
      </c>
      <c r="H32">
        <v>9</v>
      </c>
      <c r="I32" s="2" t="s">
        <v>50</v>
      </c>
      <c r="J32" s="2" t="s">
        <v>40</v>
      </c>
      <c r="K32">
        <v>2021</v>
      </c>
      <c r="L32" s="2" t="s">
        <v>34</v>
      </c>
      <c r="M32">
        <v>1</v>
      </c>
      <c r="N32" s="2" t="s">
        <v>22</v>
      </c>
      <c r="O32" s="2" t="s">
        <v>23</v>
      </c>
      <c r="P32" s="2" t="s">
        <v>24</v>
      </c>
    </row>
    <row r="33" spans="1:16" x14ac:dyDescent="0.25">
      <c r="A33">
        <v>32</v>
      </c>
      <c r="B33" s="1">
        <v>45599</v>
      </c>
      <c r="C33" s="2" t="s">
        <v>25</v>
      </c>
      <c r="D33" s="2" t="s">
        <v>17</v>
      </c>
      <c r="E33" s="2" t="s">
        <v>18</v>
      </c>
      <c r="F33">
        <v>7</v>
      </c>
      <c r="G33">
        <v>1</v>
      </c>
      <c r="H33">
        <v>10</v>
      </c>
      <c r="I33" s="2" t="s">
        <v>51</v>
      </c>
      <c r="J33" s="2" t="s">
        <v>20</v>
      </c>
      <c r="K33">
        <v>2022</v>
      </c>
      <c r="L33" s="2" t="s">
        <v>21</v>
      </c>
      <c r="M33">
        <v>2</v>
      </c>
      <c r="N33" s="2" t="s">
        <v>22</v>
      </c>
      <c r="O33" s="2" t="s">
        <v>29</v>
      </c>
      <c r="P33" s="2" t="s">
        <v>30</v>
      </c>
    </row>
    <row r="34" spans="1:16" x14ac:dyDescent="0.25">
      <c r="A34">
        <v>33</v>
      </c>
      <c r="B34" s="1">
        <v>45600</v>
      </c>
      <c r="C34" s="2" t="s">
        <v>31</v>
      </c>
      <c r="D34" s="2" t="s">
        <v>26</v>
      </c>
      <c r="E34" s="2" t="s">
        <v>18</v>
      </c>
      <c r="F34">
        <v>3</v>
      </c>
      <c r="G34">
        <v>1</v>
      </c>
      <c r="H34">
        <v>1</v>
      </c>
      <c r="I34" s="2" t="s">
        <v>19</v>
      </c>
      <c r="J34" s="2" t="s">
        <v>20</v>
      </c>
      <c r="K34">
        <v>2020</v>
      </c>
      <c r="L34" s="2" t="s">
        <v>21</v>
      </c>
      <c r="M34">
        <v>3</v>
      </c>
      <c r="N34" s="2" t="s">
        <v>35</v>
      </c>
      <c r="O34" s="2" t="s">
        <v>29</v>
      </c>
      <c r="P34" s="2" t="s">
        <v>24</v>
      </c>
    </row>
    <row r="35" spans="1:16" x14ac:dyDescent="0.25">
      <c r="A35">
        <v>34</v>
      </c>
      <c r="B35" s="1">
        <v>45601</v>
      </c>
      <c r="C35" s="2" t="s">
        <v>36</v>
      </c>
      <c r="D35" s="2" t="s">
        <v>26</v>
      </c>
      <c r="E35" s="2" t="s">
        <v>27</v>
      </c>
      <c r="F35" t="s">
        <v>28</v>
      </c>
      <c r="G35">
        <v>1</v>
      </c>
      <c r="H35">
        <v>2</v>
      </c>
      <c r="I35" s="2" t="s">
        <v>33</v>
      </c>
      <c r="J35" s="2" t="s">
        <v>20</v>
      </c>
      <c r="K35">
        <v>2021</v>
      </c>
      <c r="L35" s="2" t="s">
        <v>34</v>
      </c>
      <c r="M35">
        <v>4</v>
      </c>
      <c r="N35" s="2" t="s">
        <v>35</v>
      </c>
      <c r="O35" s="2" t="s">
        <v>37</v>
      </c>
      <c r="P35" s="2" t="s">
        <v>30</v>
      </c>
    </row>
    <row r="36" spans="1:16" x14ac:dyDescent="0.25">
      <c r="A36">
        <v>35</v>
      </c>
      <c r="B36" s="1">
        <v>45602</v>
      </c>
      <c r="C36" s="2" t="s">
        <v>16</v>
      </c>
      <c r="D36" s="2" t="s">
        <v>17</v>
      </c>
      <c r="E36" s="2" t="s">
        <v>18</v>
      </c>
      <c r="F36">
        <v>8</v>
      </c>
      <c r="G36">
        <v>1</v>
      </c>
      <c r="H36">
        <v>3</v>
      </c>
      <c r="I36" s="2" t="s">
        <v>39</v>
      </c>
      <c r="J36" s="2" t="s">
        <v>40</v>
      </c>
      <c r="K36">
        <v>2022</v>
      </c>
      <c r="L36" s="2" t="s">
        <v>41</v>
      </c>
      <c r="M36">
        <v>5</v>
      </c>
      <c r="N36" s="2" t="s">
        <v>42</v>
      </c>
      <c r="O36" s="2" t="s">
        <v>23</v>
      </c>
      <c r="P36" s="2" t="s">
        <v>24</v>
      </c>
    </row>
    <row r="37" spans="1:16" x14ac:dyDescent="0.25">
      <c r="A37">
        <v>36</v>
      </c>
      <c r="B37" s="1">
        <v>45603</v>
      </c>
      <c r="C37" s="2" t="s">
        <v>25</v>
      </c>
      <c r="D37" s="2" t="s">
        <v>32</v>
      </c>
      <c r="E37" s="2" t="s">
        <v>18</v>
      </c>
      <c r="F37">
        <v>2</v>
      </c>
      <c r="G37">
        <v>1</v>
      </c>
      <c r="H37">
        <v>4</v>
      </c>
      <c r="I37" s="2" t="s">
        <v>43</v>
      </c>
      <c r="J37" s="2" t="s">
        <v>40</v>
      </c>
      <c r="K37">
        <v>2023</v>
      </c>
      <c r="L37" s="2" t="s">
        <v>41</v>
      </c>
      <c r="M37">
        <v>6</v>
      </c>
      <c r="N37" s="2" t="s">
        <v>42</v>
      </c>
      <c r="O37" s="2" t="s">
        <v>29</v>
      </c>
      <c r="P37" s="2" t="s">
        <v>24</v>
      </c>
    </row>
    <row r="38" spans="1:16" x14ac:dyDescent="0.25">
      <c r="A38">
        <v>37</v>
      </c>
      <c r="B38" s="1">
        <v>45604</v>
      </c>
      <c r="C38" s="2" t="s">
        <v>16</v>
      </c>
      <c r="D38" s="2" t="s">
        <v>26</v>
      </c>
      <c r="E38" s="2" t="s">
        <v>18</v>
      </c>
      <c r="F38">
        <v>5</v>
      </c>
      <c r="G38">
        <v>0</v>
      </c>
      <c r="H38">
        <v>5</v>
      </c>
      <c r="I38" s="2" t="s">
        <v>44</v>
      </c>
      <c r="J38" s="2" t="s">
        <v>20</v>
      </c>
      <c r="K38">
        <v>2019</v>
      </c>
      <c r="L38" s="2" t="s">
        <v>21</v>
      </c>
      <c r="M38">
        <v>7</v>
      </c>
      <c r="N38" s="2" t="s">
        <v>42</v>
      </c>
      <c r="O38" s="2" t="s">
        <v>37</v>
      </c>
      <c r="P38" s="2" t="s">
        <v>30</v>
      </c>
    </row>
    <row r="39" spans="1:16" x14ac:dyDescent="0.25">
      <c r="A39">
        <v>38</v>
      </c>
      <c r="B39" s="1">
        <v>45605</v>
      </c>
      <c r="C39" s="2" t="s">
        <v>31</v>
      </c>
      <c r="D39" s="2" t="s">
        <v>38</v>
      </c>
      <c r="E39" s="2" t="s">
        <v>18</v>
      </c>
      <c r="F39">
        <v>10</v>
      </c>
      <c r="G39">
        <v>1</v>
      </c>
      <c r="H39">
        <v>6</v>
      </c>
      <c r="I39" s="2" t="s">
        <v>45</v>
      </c>
      <c r="J39" s="2" t="s">
        <v>20</v>
      </c>
      <c r="K39">
        <v>2021</v>
      </c>
      <c r="L39" s="2" t="s">
        <v>34</v>
      </c>
      <c r="M39">
        <v>8</v>
      </c>
      <c r="N39" s="2" t="s">
        <v>46</v>
      </c>
      <c r="O39" s="2" t="s">
        <v>29</v>
      </c>
      <c r="P39" s="2" t="s">
        <v>24</v>
      </c>
    </row>
    <row r="40" spans="1:16" x14ac:dyDescent="0.25">
      <c r="A40">
        <v>39</v>
      </c>
      <c r="B40" s="1">
        <v>45606</v>
      </c>
      <c r="C40" s="2" t="s">
        <v>36</v>
      </c>
      <c r="D40" s="2" t="s">
        <v>32</v>
      </c>
      <c r="E40" s="2" t="s">
        <v>18</v>
      </c>
      <c r="F40">
        <v>1</v>
      </c>
      <c r="G40">
        <v>1</v>
      </c>
      <c r="H40">
        <v>7</v>
      </c>
      <c r="I40" s="2" t="s">
        <v>47</v>
      </c>
      <c r="J40" s="2" t="s">
        <v>20</v>
      </c>
      <c r="K40">
        <v>2023</v>
      </c>
      <c r="L40" s="2" t="s">
        <v>34</v>
      </c>
      <c r="M40">
        <v>9</v>
      </c>
      <c r="N40" s="2" t="s">
        <v>46</v>
      </c>
      <c r="O40" s="2" t="s">
        <v>37</v>
      </c>
      <c r="P40" s="2" t="s">
        <v>30</v>
      </c>
    </row>
    <row r="41" spans="1:16" x14ac:dyDescent="0.25">
      <c r="A41">
        <v>40</v>
      </c>
      <c r="B41" s="1">
        <v>45607</v>
      </c>
      <c r="C41" s="2" t="s">
        <v>16</v>
      </c>
      <c r="D41" s="2" t="s">
        <v>17</v>
      </c>
      <c r="E41" s="2" t="s">
        <v>27</v>
      </c>
      <c r="F41" t="s">
        <v>28</v>
      </c>
      <c r="G41">
        <v>1</v>
      </c>
      <c r="H41">
        <v>8</v>
      </c>
      <c r="I41" s="2" t="s">
        <v>48</v>
      </c>
      <c r="J41" s="2" t="s">
        <v>40</v>
      </c>
      <c r="K41">
        <v>2020</v>
      </c>
      <c r="L41" s="2" t="s">
        <v>41</v>
      </c>
      <c r="M41">
        <v>10</v>
      </c>
      <c r="N41" s="2" t="s">
        <v>49</v>
      </c>
      <c r="O41" s="2" t="s">
        <v>23</v>
      </c>
      <c r="P41" s="2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5E54CA-D813-446A-A6C5-477C089AB0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PivotCategory</vt:lpstr>
      <vt:lpstr>PivotModel</vt:lpstr>
      <vt:lpstr>PivotCountryResolution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Oleksii</dc:creator>
  <cp:lastModifiedBy>Oleksii Davydok</cp:lastModifiedBy>
  <dcterms:created xsi:type="dcterms:W3CDTF">2015-06-05T18:17:20Z</dcterms:created>
  <dcterms:modified xsi:type="dcterms:W3CDTF">2025-11-18T21:27:13Z</dcterms:modified>
</cp:coreProperties>
</file>